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24226"/>
  <bookViews>
    <workbookView yWindow="75" windowWidth="19440" windowHeight="12600"/>
  </bookViews>
  <sheets>
    <sheet name="октябрь" sheetId="1" r:id="rId1"/>
  </sheets>
  <definedNames>
    <definedName name="_xlnm.Print_Area" localSheetId="0"><![CDATA[октябрь!$A$1:$L$50]]></definedName>
  </definedNames>
  <calcPr calcId="191029"/>
</workbook>
</file>

<file path=xl/calcChain.xml><?xml version="1.0" encoding="utf-8"?>
<calcChain xmlns="http://schemas.openxmlformats.org/spreadsheetml/2006/main">
  <c r="D48" i="1" l="1"/>
  <c r="B47" i="1" l="1"/>
  <c r="B16" i="1"/>
  <c r="B17" i="1"/>
  <c r="B19" i="1"/>
  <c r="B22" i="1"/>
  <c r="B26" i="1"/>
  <c r="B27" i="1"/>
  <c r="B28" i="1"/>
  <c r="B29" i="1"/>
  <c r="B30" i="1"/>
  <c r="B31" i="1"/>
  <c r="B32" i="1"/>
  <c r="B33" i="1"/>
  <c r="B36" i="1"/>
  <c r="B37" i="1"/>
  <c r="B38" i="1"/>
  <c r="B39" i="1"/>
  <c r="B40" i="1"/>
  <c r="B41" i="1"/>
  <c r="B42" i="1"/>
  <c r="B43" i="1"/>
  <c r="B44" i="1"/>
  <c r="B45" i="1"/>
  <c r="B35" i="1"/>
  <c r="B34" i="1"/>
  <c r="B25" i="1"/>
  <c r="B24" i="1"/>
  <c r="B23" i="1"/>
  <c r="B21" i="1"/>
  <c r="B20" i="1"/>
  <c r="B18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46" i="1"/>
  <c r="B48" i="1" l="1"/>
  <c r="C15" i="1" l="1"/>
  <c r="C3" i="1"/>
  <c r="C22" i="1"/>
</calcChain>
</file>

<file path=xl/sharedStrings.xml><?xml version="1.0" encoding="utf-8"?>
<sst xmlns="http://schemas.openxmlformats.org/spreadsheetml/2006/main" count="53" uniqueCount="52">
  <si>
    <t xml:space="preserve">от 700 до 900 руб.</t>
  </si>
  <si>
    <t xml:space="preserve">ВСЕГО</t>
  </si>
  <si>
    <t xml:space="preserve">СУ-95</t>
  </si>
  <si>
    <t xml:space="preserve">Наименование
показателя</t>
  </si>
  <si>
    <t xml:space="preserve">%</t>
  </si>
  <si>
    <t xml:space="preserve">свыше 8500 руб.</t>
  </si>
  <si>
    <t xml:space="preserve">Начальник ПЭБ</t>
  </si>
  <si>
    <t xml:space="preserve">С.В. Володько</t>
  </si>
  <si>
    <t xml:space="preserve">Информация о начисленной заработной плате рабочих филиалов со сдельной и сдельно-премиальной оплатой труда за октябрь 2025 года</t>
  </si>
  <si>
    <t xml:space="preserve">от 900,1 до 1 000 руб.</t>
  </si>
  <si>
    <t xml:space="preserve">от 1 000,1 до 1 100 руб.</t>
  </si>
  <si>
    <t xml:space="preserve">от 1 100,1 до 1 200 руб.</t>
  </si>
  <si>
    <t xml:space="preserve">от 1 200,1 до 1 300 руб.</t>
  </si>
  <si>
    <t xml:space="preserve">от 1 300,1 до 1 400 руб.</t>
  </si>
  <si>
    <t xml:space="preserve">от 1 400,1 до 1 500 руб.</t>
  </si>
  <si>
    <t xml:space="preserve">от 1 500,1 до 1 600 руб.</t>
  </si>
  <si>
    <t xml:space="preserve">от 1 600,1 до 1 700 руб.</t>
  </si>
  <si>
    <t xml:space="preserve">от 1 700,1 до 1 800 руб.</t>
  </si>
  <si>
    <t xml:space="preserve">от 1 800,1 до 1 900 руб.</t>
  </si>
  <si>
    <t xml:space="preserve">от 1 900,1 до 2 000 руб.</t>
  </si>
  <si>
    <t xml:space="preserve">от 2 000,1 до 2 250 руб.</t>
  </si>
  <si>
    <t xml:space="preserve">от 2 250,1 до 2 500 руб.</t>
  </si>
  <si>
    <t xml:space="preserve">от 2 500,1 до 2 700 руб.</t>
  </si>
  <si>
    <t xml:space="preserve">от 2 700,1 до 2 900 руб.</t>
  </si>
  <si>
    <t xml:space="preserve">от 2 900,1 до 3 100 руб.</t>
  </si>
  <si>
    <t xml:space="preserve">от 3 100,1 до 3 300 руб.</t>
  </si>
  <si>
    <t xml:space="preserve">от 3 300,1 до 3 500 руб.</t>
  </si>
  <si>
    <t xml:space="preserve">от 3 500,1 до 3 700 руб.</t>
  </si>
  <si>
    <t xml:space="preserve">от 3 700,1 до 3 900 руб.</t>
  </si>
  <si>
    <t xml:space="preserve">от 3 900,1 до 4 100 руб.</t>
  </si>
  <si>
    <t xml:space="preserve">от 4 100,1 до 4 300 руб.</t>
  </si>
  <si>
    <t xml:space="preserve">от 4 300,1 до 4 500 руб.</t>
  </si>
  <si>
    <t xml:space="preserve">от 4 500,1 до 4 700 руб.</t>
  </si>
  <si>
    <t xml:space="preserve">от 4 700,1 до 4 900 руб.</t>
  </si>
  <si>
    <t xml:space="preserve">от 4 900,1 до 5 100 руб.</t>
  </si>
  <si>
    <t xml:space="preserve">от 5 100,1 до 5 300 руб.</t>
  </si>
  <si>
    <t xml:space="preserve">от 5 300,1 до 5 500 руб.</t>
  </si>
  <si>
    <t xml:space="preserve">от 5 500,1 до 5 700 руб.</t>
  </si>
  <si>
    <t xml:space="preserve">от 5 700,1 до 5 900 руб.</t>
  </si>
  <si>
    <t xml:space="preserve">от 5 900,1 до 6 100 руб.</t>
  </si>
  <si>
    <t xml:space="preserve">от 6 100,1 до 6 300 руб.</t>
  </si>
  <si>
    <t xml:space="preserve">от 6 300,1 до 6 500 руб.</t>
  </si>
  <si>
    <t xml:space="preserve">от 6 500,1 до 6 700 руб.</t>
  </si>
  <si>
    <t xml:space="preserve">от 6 700,1 до 6 900 руб.</t>
  </si>
  <si>
    <t xml:space="preserve">от 6 900,1 до 7 100 руб.</t>
  </si>
  <si>
    <t xml:space="preserve">от 7 100,1 до 7 300 руб.</t>
  </si>
  <si>
    <t xml:space="preserve">от 7 300,1 до 7 500 руб.</t>
  </si>
  <si>
    <t xml:space="preserve">от 7 500,1 до 7 700 руб.</t>
  </si>
  <si>
    <t xml:space="preserve">от 7 700,1 до 7 900 руб.</t>
  </si>
  <si>
    <t xml:space="preserve">от 7 900,1 до 8 100 руб.</t>
  </si>
  <si>
    <t xml:space="preserve">от 8 100,1 до 8 300 руб.</t>
  </si>
  <si>
    <t xml:space="preserve">от 8 300,1 до 8 500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</si>
</sst>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 x14ac:knownFonts="1">
    <font>
      <sz val="11"/>
      <color theme="1"/>
      <name val="Calibri"/>
      <family val="2"/>
      <charset val="204"/>
      <scheme val="minor"/>
    </font>
    <font>
      <b/>
      <i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b/>
      <i/>
      <sz val="18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8" fillId="0" borderId="0"/>
  </cellStyleXfs>
  <cellXfs count="20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2" borderId="1" xfId="0" applyFont="1" applyFill="1" applyBorder="1"/>
    <xf numFmtId="0" fontId="9" fillId="0" borderId="1" xfId="0" applyFont="1" applyBorder="1" applyAlignment="1">
      <alignment horizontal="right" vertical="center"/>
    </xf>
    <xf numFmtId="0" fontId="9" fillId="0" borderId="1" xfId="0" applyFont="1" applyFill="1" applyBorder="1" applyAlignment="1">
      <alignment horizontal="right" vertical="center"/>
    </xf>
    <xf numFmtId="0" fontId="0" fillId="0" borderId="0" xfId="0" applyBorder="1"/>
    <xf numFmtId="0" fontId="9" fillId="0" borderId="0" xfId="0" applyFont="1" applyFill="1" applyBorder="1" applyAlignment="1">
      <alignment horizontal="right" vertical="center"/>
    </xf>
    <xf numFmtId="9" fontId="9" fillId="2" borderId="3" xfId="1" applyFont="1" applyFill="1" applyBorder="1" applyAlignment="1">
      <alignment horizontal="center" vertical="center"/>
    </xf>
    <xf numFmtId="9" fontId="9" fillId="2" borderId="4" xfId="1" applyFont="1" applyFill="1" applyBorder="1" applyAlignment="1">
      <alignment horizontal="center" vertical="center"/>
    </xf>
    <xf numFmtId="9" fontId="9" fillId="2" borderId="2" xfId="1" applyFont="1" applyFill="1" applyBorder="1" applyAlignment="1">
      <alignment horizontal="center" vertical="center"/>
    </xf>
    <xf numFmtId="9" fontId="9" fillId="2" borderId="3" xfId="1" applyNumberFormat="1" applyFont="1" applyFill="1" applyBorder="1" applyAlignment="1">
      <alignment horizontal="center" vertical="center"/>
    </xf>
    <xf numFmtId="9" fontId="9" fillId="2" borderId="4" xfId="1" applyNumberFormat="1" applyFont="1" applyFill="1" applyBorder="1" applyAlignment="1">
      <alignment horizontal="center" vertical="center"/>
    </xf>
    <xf numFmtId="9" fontId="9" fillId="2" borderId="2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50"/>
  <sheetViews>
    <sheetView tabSelected="1" topLeftCell="A17" zoomScale="70" zoomScaleNormal="70" workbookViewId="0">
      <selection activeCell="G38" sqref="G38"/>
    </sheetView>
  </sheetViews>
  <sheetFormatPr defaultRowHeight="15" x14ac:dyDescent="0.25"/>
  <cols>
    <col min="1" max="1" width="24" customWidth="1"/>
    <col min="2" max="2" width="8.140625" customWidth="1"/>
    <col min="3" max="3" width="7.7109375" customWidth="1"/>
    <col min="4" max="4" width="7.140625" customWidth="1"/>
    <col min="5" max="5" width="6.42578125" customWidth="1"/>
    <col min="6" max="6" width="8.140625" customWidth="1"/>
    <col min="7" max="7" width="7.28515625" customWidth="1"/>
    <col min="8" max="8" width="7.7109375" customWidth="1"/>
    <col min="10" max="10" width="5.85546875" customWidth="1"/>
    <col min="11" max="11" width="6.140625" customWidth="1"/>
    <col min="12" max="12" width="6.7109375" customWidth="1"/>
  </cols>
  <sheetData>
    <row r="1" spans="1:12" ht="37.5" customHeight="1" x14ac:dyDescent="0.3">
      <c r="A1" s="19" t="s">
        <v>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45" customHeight="1" x14ac:dyDescent="0.25">
      <c r="A2" s="4" t="s">
        <v>3</v>
      </c>
      <c r="B2" s="5" t="s">
        <v>1</v>
      </c>
      <c r="C2" s="5" t="s">
        <v>4</v>
      </c>
      <c r="D2" s="6" t="s">
        <v>2</v>
      </c>
      <c r="E2" s="6"/>
      <c r="F2" s="6"/>
      <c r="G2" s="7"/>
      <c r="H2" s="6"/>
      <c r="I2" s="7"/>
      <c r="J2" s="6"/>
      <c r="K2" s="6"/>
      <c r="L2" s="6"/>
    </row>
    <row r="3" spans="1:12" ht="18.75" x14ac:dyDescent="0.3">
      <c r="A3" s="1" t="s">
        <v>0</v>
      </c>
      <c r="B3" s="8">
        <f t="shared" ref="B3:B45" si="0">D3+E3+F3+G3+H3+I3+J3+L3+K3</f>
        <v>0</v>
      </c>
      <c r="C3" s="16">
        <f>SUM(B3:B14)/B48</f>
        <v>0.14285714285714285</v>
      </c>
      <c r="D3" s="9"/>
      <c r="E3" s="9"/>
      <c r="F3" s="9"/>
      <c r="G3" s="9"/>
      <c r="H3" s="9"/>
      <c r="I3" s="9"/>
      <c r="J3" s="9"/>
      <c r="K3" s="9"/>
      <c r="L3" s="9"/>
    </row>
    <row r="4" spans="1:12" ht="18.75" x14ac:dyDescent="0.3">
      <c r="A4" s="1" t="s">
        <v>9</v>
      </c>
      <c r="B4" s="8">
        <f t="shared" si="0"/>
        <v>0</v>
      </c>
      <c r="C4" s="17"/>
      <c r="D4" s="9"/>
      <c r="E4" s="9"/>
      <c r="F4" s="9"/>
      <c r="G4" s="9"/>
      <c r="H4" s="9"/>
      <c r="I4" s="9"/>
      <c r="J4" s="9"/>
      <c r="K4" s="9"/>
      <c r="L4" s="9"/>
    </row>
    <row r="5" spans="1:12" ht="18.75" x14ac:dyDescent="0.3">
      <c r="A5" s="1" t="s">
        <v>10</v>
      </c>
      <c r="B5" s="8">
        <f t="shared" si="0"/>
        <v>0</v>
      </c>
      <c r="C5" s="17"/>
      <c r="D5" s="9"/>
      <c r="E5" s="9"/>
      <c r="F5" s="9"/>
      <c r="G5" s="9"/>
      <c r="H5" s="9"/>
      <c r="I5" s="9"/>
      <c r="J5" s="9"/>
      <c r="K5" s="9"/>
      <c r="L5" s="9"/>
    </row>
    <row r="6" spans="1:12" ht="18.75" x14ac:dyDescent="0.3">
      <c r="A6" s="1" t="s">
        <v>11</v>
      </c>
      <c r="B6" s="8">
        <f t="shared" si="0"/>
        <v>0</v>
      </c>
      <c r="C6" s="17"/>
      <c r="D6" s="9"/>
      <c r="E6" s="9"/>
      <c r="F6" s="9"/>
      <c r="G6" s="9"/>
      <c r="H6" s="9"/>
      <c r="I6" s="9"/>
      <c r="J6" s="9"/>
      <c r="K6" s="9"/>
      <c r="L6" s="9"/>
    </row>
    <row r="7" spans="1:12" ht="18.75" x14ac:dyDescent="0.3">
      <c r="A7" s="1" t="s">
        <v>12</v>
      </c>
      <c r="B7" s="8">
        <f t="shared" si="0"/>
        <v>0</v>
      </c>
      <c r="C7" s="17"/>
      <c r="D7" s="9"/>
      <c r="E7" s="9"/>
      <c r="F7" s="9"/>
      <c r="G7" s="9"/>
      <c r="H7" s="9"/>
      <c r="I7" s="9"/>
      <c r="J7" s="9"/>
      <c r="K7" s="9"/>
      <c r="L7" s="9"/>
    </row>
    <row r="8" spans="1:12" ht="18.75" x14ac:dyDescent="0.3">
      <c r="A8" s="1" t="s">
        <v>13</v>
      </c>
      <c r="B8" s="8">
        <f t="shared" si="0"/>
        <v>0</v>
      </c>
      <c r="C8" s="17"/>
      <c r="D8" s="9"/>
      <c r="E8" s="9"/>
      <c r="F8" s="9"/>
      <c r="G8" s="9"/>
      <c r="H8" s="9"/>
      <c r="I8" s="9"/>
      <c r="J8" s="9"/>
      <c r="K8" s="9"/>
      <c r="L8" s="9"/>
    </row>
    <row r="9" spans="1:12" ht="18.75" x14ac:dyDescent="0.3">
      <c r="A9" s="1" t="s">
        <v>14</v>
      </c>
      <c r="B9" s="8">
        <f t="shared" si="0"/>
        <v>1</v>
      </c>
      <c r="C9" s="17"/>
      <c r="D9" s="9">
        <v>1</v>
      </c>
      <c r="E9" s="9"/>
      <c r="F9" s="9"/>
      <c r="G9" s="9"/>
      <c r="H9" s="9"/>
      <c r="I9" s="9"/>
      <c r="J9" s="9"/>
      <c r="K9" s="9"/>
      <c r="L9" s="9"/>
    </row>
    <row r="10" spans="1:12" ht="18.75" x14ac:dyDescent="0.3">
      <c r="A10" s="1" t="s">
        <v>15</v>
      </c>
      <c r="B10" s="8">
        <f t="shared" si="0"/>
        <v>0</v>
      </c>
      <c r="C10" s="17"/>
      <c r="D10" s="9"/>
      <c r="E10" s="9"/>
      <c r="F10" s="9"/>
      <c r="G10" s="9"/>
      <c r="H10" s="9"/>
      <c r="I10" s="9"/>
      <c r="J10" s="9"/>
      <c r="K10" s="9"/>
      <c r="L10" s="9"/>
    </row>
    <row r="11" spans="1:12" ht="18.75" x14ac:dyDescent="0.3">
      <c r="A11" s="1" t="s">
        <v>16</v>
      </c>
      <c r="B11" s="8">
        <f t="shared" si="0"/>
        <v>0</v>
      </c>
      <c r="C11" s="17"/>
      <c r="D11" s="9"/>
      <c r="E11" s="9"/>
      <c r="F11" s="9"/>
      <c r="G11" s="9"/>
      <c r="H11" s="9"/>
      <c r="I11" s="9"/>
      <c r="J11" s="9"/>
      <c r="K11" s="9"/>
      <c r="L11" s="9"/>
    </row>
    <row r="12" spans="1:12" ht="18.75" x14ac:dyDescent="0.3">
      <c r="A12" s="1" t="s">
        <v>17</v>
      </c>
      <c r="B12" s="8">
        <f t="shared" si="0"/>
        <v>0</v>
      </c>
      <c r="C12" s="17"/>
      <c r="D12" s="9"/>
      <c r="E12" s="9"/>
      <c r="F12" s="9"/>
      <c r="G12" s="9"/>
      <c r="H12" s="9"/>
      <c r="I12" s="9"/>
      <c r="J12" s="9"/>
      <c r="K12" s="9"/>
      <c r="L12" s="9"/>
    </row>
    <row r="13" spans="1:12" ht="18.75" x14ac:dyDescent="0.3">
      <c r="A13" s="1" t="s">
        <v>18</v>
      </c>
      <c r="B13" s="8">
        <f t="shared" si="0"/>
        <v>0</v>
      </c>
      <c r="C13" s="17"/>
      <c r="D13" s="9"/>
      <c r="E13" s="9"/>
      <c r="F13" s="9"/>
      <c r="G13" s="9"/>
      <c r="H13" s="9"/>
      <c r="I13" s="9"/>
      <c r="J13" s="9"/>
      <c r="K13" s="9"/>
      <c r="L13" s="9"/>
    </row>
    <row r="14" spans="1:12" ht="18.75" x14ac:dyDescent="0.3">
      <c r="A14" s="1" t="s">
        <v>19</v>
      </c>
      <c r="B14" s="8">
        <f t="shared" si="0"/>
        <v>0</v>
      </c>
      <c r="C14" s="18"/>
      <c r="D14" s="9"/>
      <c r="E14" s="9"/>
      <c r="F14" s="9"/>
      <c r="G14" s="9"/>
      <c r="H14" s="9"/>
      <c r="I14" s="10"/>
      <c r="J14" s="9"/>
      <c r="K14" s="9"/>
      <c r="L14" s="9"/>
    </row>
    <row r="15" spans="1:12" ht="18.75" x14ac:dyDescent="0.3">
      <c r="A15" s="1" t="s">
        <v>20</v>
      </c>
      <c r="B15" s="8">
        <f t="shared" si="0"/>
        <v>0</v>
      </c>
      <c r="C15" s="13">
        <f>SUM(B15:B21)/B48</f>
        <v>0.2857142857142857</v>
      </c>
      <c r="D15" s="9"/>
      <c r="E15" s="9"/>
      <c r="F15" s="9"/>
      <c r="G15" s="9"/>
      <c r="H15" s="9"/>
      <c r="I15" s="10"/>
      <c r="J15" s="9"/>
      <c r="K15" s="9"/>
      <c r="L15" s="9"/>
    </row>
    <row r="16" spans="1:12" ht="18.75" x14ac:dyDescent="0.3">
      <c r="A16" s="1" t="s">
        <v>21</v>
      </c>
      <c r="B16" s="8">
        <f t="shared" si="0"/>
        <v>1</v>
      </c>
      <c r="C16" s="14"/>
      <c r="D16" s="9">
        <v>1</v>
      </c>
      <c r="E16" s="9"/>
      <c r="F16" s="9"/>
      <c r="G16" s="9"/>
      <c r="H16" s="9"/>
      <c r="I16" s="10"/>
      <c r="J16" s="9"/>
      <c r="K16" s="9"/>
      <c r="L16" s="9"/>
    </row>
    <row r="17" spans="1:12" ht="18.75" x14ac:dyDescent="0.3">
      <c r="A17" s="1" t="s">
        <v>22</v>
      </c>
      <c r="B17" s="8">
        <f t="shared" si="0"/>
        <v>0</v>
      </c>
      <c r="C17" s="14"/>
      <c r="D17" s="9"/>
      <c r="E17" s="9"/>
      <c r="F17" s="9"/>
      <c r="G17" s="9"/>
      <c r="H17" s="9"/>
      <c r="I17" s="9"/>
      <c r="J17" s="9"/>
      <c r="K17" s="9"/>
      <c r="L17" s="9"/>
    </row>
    <row r="18" spans="1:12" ht="18.75" x14ac:dyDescent="0.3">
      <c r="A18" s="1" t="s">
        <v>23</v>
      </c>
      <c r="B18" s="8">
        <f t="shared" si="0"/>
        <v>0</v>
      </c>
      <c r="C18" s="14"/>
      <c r="D18" s="9"/>
      <c r="E18" s="9"/>
      <c r="F18" s="9"/>
      <c r="G18" s="9"/>
      <c r="H18" s="9"/>
      <c r="I18" s="9"/>
      <c r="J18" s="9"/>
      <c r="K18" s="9"/>
      <c r="L18" s="9"/>
    </row>
    <row r="19" spans="1:12" ht="18.75" x14ac:dyDescent="0.3">
      <c r="A19" s="1" t="s">
        <v>24</v>
      </c>
      <c r="B19" s="8">
        <f t="shared" si="0"/>
        <v>0</v>
      </c>
      <c r="C19" s="14"/>
      <c r="D19" s="9"/>
      <c r="E19" s="9"/>
      <c r="F19" s="9"/>
      <c r="G19" s="9"/>
      <c r="H19" s="9"/>
      <c r="I19" s="9"/>
      <c r="J19" s="9"/>
      <c r="K19" s="9"/>
      <c r="L19" s="9"/>
    </row>
    <row r="20" spans="1:12" ht="18.75" x14ac:dyDescent="0.3">
      <c r="A20" s="1" t="s">
        <v>25</v>
      </c>
      <c r="B20" s="8">
        <f t="shared" si="0"/>
        <v>0</v>
      </c>
      <c r="C20" s="14"/>
      <c r="D20" s="9"/>
      <c r="E20" s="9"/>
      <c r="F20" s="9"/>
      <c r="G20" s="9"/>
      <c r="H20" s="9"/>
      <c r="I20" s="9"/>
      <c r="J20" s="9"/>
      <c r="K20" s="9"/>
      <c r="L20" s="9"/>
    </row>
    <row r="21" spans="1:12" ht="18.75" x14ac:dyDescent="0.3">
      <c r="A21" s="1" t="s">
        <v>26</v>
      </c>
      <c r="B21" s="8">
        <f t="shared" si="0"/>
        <v>1</v>
      </c>
      <c r="C21" s="15"/>
      <c r="D21" s="9">
        <v>1</v>
      </c>
      <c r="E21" s="9"/>
      <c r="F21" s="9"/>
      <c r="G21" s="9"/>
      <c r="H21" s="9"/>
      <c r="I21" s="9"/>
      <c r="J21" s="9"/>
      <c r="K21" s="9"/>
      <c r="L21" s="9"/>
    </row>
    <row r="22" spans="1:12" ht="18.75" x14ac:dyDescent="0.3">
      <c r="A22" s="1" t="s">
        <v>27</v>
      </c>
      <c r="B22" s="8">
        <f t="shared" si="0"/>
        <v>0</v>
      </c>
      <c r="C22" s="13">
        <f>SUM(B22:B47)/B48</f>
        <v>0.5714285714285714</v>
      </c>
      <c r="D22" s="9"/>
      <c r="E22" s="9"/>
      <c r="F22" s="9"/>
      <c r="G22" s="9"/>
      <c r="H22" s="9"/>
      <c r="I22" s="9"/>
      <c r="J22" s="9"/>
      <c r="K22" s="9"/>
      <c r="L22" s="9"/>
    </row>
    <row r="23" spans="1:12" ht="18.75" x14ac:dyDescent="0.3">
      <c r="A23" s="1" t="s">
        <v>28</v>
      </c>
      <c r="B23" s="8">
        <f t="shared" si="0"/>
        <v>0</v>
      </c>
      <c r="C23" s="14"/>
      <c r="D23" s="9"/>
      <c r="E23" s="9"/>
      <c r="F23" s="9"/>
      <c r="G23" s="9"/>
      <c r="H23" s="9"/>
      <c r="I23" s="9"/>
      <c r="J23" s="9"/>
      <c r="K23" s="9"/>
      <c r="L23" s="9"/>
    </row>
    <row r="24" spans="1:12" ht="18.75" x14ac:dyDescent="0.3">
      <c r="A24" s="1" t="s">
        <v>29</v>
      </c>
      <c r="B24" s="8">
        <f t="shared" si="0"/>
        <v>0</v>
      </c>
      <c r="C24" s="14"/>
      <c r="D24" s="9"/>
      <c r="E24" s="9"/>
      <c r="F24" s="9"/>
      <c r="G24" s="9"/>
      <c r="H24" s="9"/>
      <c r="I24" s="9"/>
      <c r="J24" s="9"/>
      <c r="K24" s="9"/>
      <c r="L24" s="9"/>
    </row>
    <row r="25" spans="1:12" ht="18.75" x14ac:dyDescent="0.3">
      <c r="A25" s="1" t="s">
        <v>30</v>
      </c>
      <c r="B25" s="8">
        <f t="shared" si="0"/>
        <v>1</v>
      </c>
      <c r="C25" s="14"/>
      <c r="D25" s="9">
        <v>1</v>
      </c>
      <c r="E25" s="9"/>
      <c r="F25" s="9"/>
      <c r="G25" s="9"/>
      <c r="H25" s="9"/>
      <c r="I25" s="9"/>
      <c r="J25" s="9"/>
      <c r="K25" s="9"/>
      <c r="L25" s="9"/>
    </row>
    <row r="26" spans="1:12" ht="18.75" x14ac:dyDescent="0.3">
      <c r="A26" s="1" t="s">
        <v>31</v>
      </c>
      <c r="B26" s="8">
        <f t="shared" si="0"/>
        <v>0</v>
      </c>
      <c r="C26" s="14"/>
      <c r="D26" s="9"/>
      <c r="E26" s="9"/>
      <c r="F26" s="9"/>
      <c r="G26" s="9"/>
      <c r="H26" s="9"/>
      <c r="I26" s="9"/>
      <c r="J26" s="9"/>
      <c r="K26" s="9"/>
      <c r="L26" s="9"/>
    </row>
    <row r="27" spans="1:12" ht="18.75" x14ac:dyDescent="0.3">
      <c r="A27" s="1" t="s">
        <v>32</v>
      </c>
      <c r="B27" s="8">
        <f t="shared" si="0"/>
        <v>0</v>
      </c>
      <c r="C27" s="14"/>
      <c r="D27" s="9"/>
      <c r="E27" s="9"/>
      <c r="F27" s="9"/>
      <c r="G27" s="9"/>
      <c r="H27" s="9"/>
      <c r="I27" s="9"/>
      <c r="J27" s="9"/>
      <c r="K27" s="9"/>
      <c r="L27" s="9"/>
    </row>
    <row r="28" spans="1:12" ht="18.75" x14ac:dyDescent="0.3">
      <c r="A28" s="1" t="s">
        <v>33</v>
      </c>
      <c r="B28" s="8">
        <f t="shared" si="0"/>
        <v>0</v>
      </c>
      <c r="C28" s="14"/>
      <c r="D28" s="9"/>
      <c r="E28" s="9"/>
      <c r="F28" s="9"/>
      <c r="G28" s="9"/>
      <c r="H28" s="9"/>
      <c r="I28" s="9"/>
      <c r="J28" s="9"/>
      <c r="K28" s="9"/>
      <c r="L28" s="9"/>
    </row>
    <row r="29" spans="1:12" ht="18.75" x14ac:dyDescent="0.3">
      <c r="A29" s="1" t="s">
        <v>34</v>
      </c>
      <c r="B29" s="8">
        <f t="shared" si="0"/>
        <v>0</v>
      </c>
      <c r="C29" s="14"/>
      <c r="D29" s="9"/>
      <c r="E29" s="9"/>
      <c r="F29" s="9"/>
      <c r="G29" s="9"/>
      <c r="H29" s="9"/>
      <c r="I29" s="9"/>
      <c r="J29" s="9"/>
      <c r="K29" s="9"/>
      <c r="L29" s="9"/>
    </row>
    <row r="30" spans="1:12" ht="18.75" x14ac:dyDescent="0.3">
      <c r="A30" s="1" t="s">
        <v>35</v>
      </c>
      <c r="B30" s="8">
        <f t="shared" si="0"/>
        <v>0</v>
      </c>
      <c r="C30" s="14"/>
      <c r="D30" s="9"/>
      <c r="E30" s="9"/>
      <c r="F30" s="9"/>
      <c r="G30" s="9"/>
      <c r="H30" s="9"/>
      <c r="I30" s="9"/>
      <c r="J30" s="9"/>
      <c r="K30" s="9"/>
      <c r="L30" s="9"/>
    </row>
    <row r="31" spans="1:12" ht="18.75" x14ac:dyDescent="0.3">
      <c r="A31" s="1" t="s">
        <v>36</v>
      </c>
      <c r="B31" s="8">
        <f t="shared" si="0"/>
        <v>0</v>
      </c>
      <c r="C31" s="14"/>
      <c r="D31" s="9"/>
      <c r="E31" s="9"/>
      <c r="F31" s="9"/>
      <c r="G31" s="9"/>
      <c r="H31" s="9"/>
      <c r="I31" s="9"/>
      <c r="J31" s="9"/>
      <c r="K31" s="9"/>
      <c r="L31" s="9"/>
    </row>
    <row r="32" spans="1:12" ht="18.75" x14ac:dyDescent="0.3">
      <c r="A32" s="1" t="s">
        <v>37</v>
      </c>
      <c r="B32" s="8">
        <f t="shared" si="0"/>
        <v>0</v>
      </c>
      <c r="C32" s="14"/>
      <c r="D32" s="9"/>
      <c r="E32" s="9"/>
      <c r="F32" s="9"/>
      <c r="G32" s="9"/>
      <c r="H32" s="9"/>
      <c r="I32" s="9"/>
      <c r="J32" s="9"/>
      <c r="K32" s="9"/>
      <c r="L32" s="9"/>
    </row>
    <row r="33" spans="1:12" ht="18.75" x14ac:dyDescent="0.3">
      <c r="A33" s="1" t="s">
        <v>38</v>
      </c>
      <c r="B33" s="8">
        <f t="shared" si="0"/>
        <v>1</v>
      </c>
      <c r="C33" s="14"/>
      <c r="D33" s="9">
        <v>1</v>
      </c>
      <c r="E33" s="9"/>
      <c r="F33" s="9"/>
      <c r="G33" s="9"/>
      <c r="H33" s="9"/>
      <c r="I33" s="9"/>
      <c r="J33" s="9"/>
      <c r="K33" s="9"/>
      <c r="L33" s="9"/>
    </row>
    <row r="34" spans="1:12" ht="18.75" x14ac:dyDescent="0.3">
      <c r="A34" s="1" t="s">
        <v>39</v>
      </c>
      <c r="B34" s="8">
        <f t="shared" si="0"/>
        <v>0</v>
      </c>
      <c r="C34" s="14"/>
      <c r="D34" s="9"/>
      <c r="E34" s="9"/>
      <c r="F34" s="9"/>
      <c r="G34" s="9"/>
      <c r="H34" s="9"/>
      <c r="I34" s="9"/>
      <c r="J34" s="9"/>
      <c r="K34" s="9"/>
      <c r="L34" s="9"/>
    </row>
    <row r="35" spans="1:12" ht="17.25" customHeight="1" x14ac:dyDescent="0.3">
      <c r="A35" s="1" t="s">
        <v>40</v>
      </c>
      <c r="B35" s="8">
        <f t="shared" si="0"/>
        <v>0</v>
      </c>
      <c r="C35" s="14"/>
      <c r="D35" s="9"/>
      <c r="E35" s="9"/>
      <c r="F35" s="9"/>
      <c r="G35" s="9"/>
      <c r="H35" s="9"/>
      <c r="I35" s="9"/>
      <c r="J35" s="9"/>
      <c r="K35" s="9"/>
      <c r="L35" s="9"/>
    </row>
    <row r="36" spans="1:12" ht="18.75" x14ac:dyDescent="0.3">
      <c r="A36" s="1" t="s">
        <v>41</v>
      </c>
      <c r="B36" s="8">
        <f t="shared" si="0"/>
        <v>0</v>
      </c>
      <c r="C36" s="14"/>
      <c r="D36" s="9"/>
      <c r="E36" s="9"/>
      <c r="F36" s="9"/>
      <c r="G36" s="9"/>
      <c r="H36" s="9"/>
      <c r="I36" s="9"/>
      <c r="J36" s="9"/>
      <c r="K36" s="9"/>
      <c r="L36" s="9"/>
    </row>
    <row r="37" spans="1:12" ht="18.75" x14ac:dyDescent="0.3">
      <c r="A37" s="1" t="s">
        <v>42</v>
      </c>
      <c r="B37" s="8">
        <f t="shared" si="0"/>
        <v>0</v>
      </c>
      <c r="C37" s="14"/>
      <c r="D37" s="9"/>
      <c r="E37" s="9"/>
      <c r="F37" s="9"/>
      <c r="G37" s="9"/>
      <c r="H37" s="9"/>
      <c r="I37" s="9"/>
      <c r="J37" s="9"/>
      <c r="K37" s="9"/>
      <c r="L37" s="9"/>
    </row>
    <row r="38" spans="1:12" ht="18.75" x14ac:dyDescent="0.3">
      <c r="A38" s="1" t="s">
        <v>43</v>
      </c>
      <c r="B38" s="8">
        <f t="shared" si="0"/>
        <v>0</v>
      </c>
      <c r="C38" s="14"/>
      <c r="D38" s="9"/>
      <c r="E38" s="9"/>
      <c r="F38" s="9"/>
      <c r="G38" s="9"/>
      <c r="H38" s="9"/>
      <c r="I38" s="9"/>
      <c r="J38" s="9"/>
      <c r="K38" s="9"/>
      <c r="L38" s="9"/>
    </row>
    <row r="39" spans="1:12" ht="18.75" x14ac:dyDescent="0.3">
      <c r="A39" s="1" t="s">
        <v>44</v>
      </c>
      <c r="B39" s="8">
        <f t="shared" si="0"/>
        <v>0</v>
      </c>
      <c r="C39" s="14"/>
      <c r="D39" s="9"/>
      <c r="E39" s="9"/>
      <c r="F39" s="9"/>
      <c r="G39" s="9"/>
      <c r="H39" s="9"/>
      <c r="I39" s="9"/>
      <c r="J39" s="9"/>
      <c r="K39" s="9"/>
      <c r="L39" s="9"/>
    </row>
    <row r="40" spans="1:12" ht="18.75" x14ac:dyDescent="0.3">
      <c r="A40" s="1" t="s">
        <v>45</v>
      </c>
      <c r="B40" s="8">
        <f t="shared" si="0"/>
        <v>1</v>
      </c>
      <c r="C40" s="14"/>
      <c r="D40" s="9">
        <v>1</v>
      </c>
      <c r="E40" s="9"/>
      <c r="F40" s="9"/>
      <c r="G40" s="9"/>
      <c r="H40" s="9"/>
      <c r="I40" s="9"/>
      <c r="J40" s="9"/>
      <c r="K40" s="9"/>
      <c r="L40" s="9"/>
    </row>
    <row r="41" spans="1:12" ht="18.75" x14ac:dyDescent="0.3">
      <c r="A41" s="1" t="s">
        <v>46</v>
      </c>
      <c r="B41" s="8">
        <f t="shared" si="0"/>
        <v>0</v>
      </c>
      <c r="C41" s="14"/>
      <c r="D41" s="9"/>
      <c r="E41" s="9"/>
      <c r="F41" s="9"/>
      <c r="G41" s="9"/>
      <c r="H41" s="9"/>
      <c r="I41" s="9"/>
      <c r="J41" s="9"/>
      <c r="K41" s="9"/>
      <c r="L41" s="9"/>
    </row>
    <row r="42" spans="1:12" ht="18.75" x14ac:dyDescent="0.3">
      <c r="A42" s="1" t="s">
        <v>47</v>
      </c>
      <c r="B42" s="8">
        <f t="shared" si="0"/>
        <v>0</v>
      </c>
      <c r="C42" s="14"/>
      <c r="D42" s="9"/>
      <c r="E42" s="9"/>
      <c r="F42" s="9"/>
      <c r="G42" s="9"/>
      <c r="H42" s="9"/>
      <c r="I42" s="9"/>
      <c r="J42" s="9"/>
      <c r="K42" s="9"/>
      <c r="L42" s="9"/>
    </row>
    <row r="43" spans="1:12" ht="18.75" x14ac:dyDescent="0.3">
      <c r="A43" s="1" t="s">
        <v>48</v>
      </c>
      <c r="B43" s="8">
        <f t="shared" si="0"/>
        <v>0</v>
      </c>
      <c r="C43" s="14"/>
      <c r="D43" s="9"/>
      <c r="E43" s="9"/>
      <c r="F43" s="9"/>
      <c r="G43" s="9"/>
      <c r="H43" s="9"/>
      <c r="I43" s="9"/>
      <c r="J43" s="9"/>
      <c r="K43" s="9"/>
      <c r="L43" s="9"/>
    </row>
    <row r="44" spans="1:12" ht="18.75" x14ac:dyDescent="0.3">
      <c r="A44" s="1" t="s">
        <v>49</v>
      </c>
      <c r="B44" s="8">
        <f t="shared" si="0"/>
        <v>0</v>
      </c>
      <c r="C44" s="14"/>
      <c r="D44" s="9"/>
      <c r="E44" s="9"/>
      <c r="F44" s="9"/>
      <c r="G44" s="9"/>
      <c r="H44" s="9"/>
      <c r="I44" s="9"/>
      <c r="J44" s="9"/>
      <c r="K44" s="9"/>
      <c r="L44" s="9"/>
    </row>
    <row r="45" spans="1:12" ht="18.75" x14ac:dyDescent="0.3">
      <c r="A45" s="1" t="s">
        <v>50</v>
      </c>
      <c r="B45" s="8">
        <f t="shared" si="0"/>
        <v>1</v>
      </c>
      <c r="C45" s="14"/>
      <c r="D45" s="9">
        <v>1</v>
      </c>
      <c r="E45" s="9"/>
      <c r="F45" s="9"/>
      <c r="G45" s="9"/>
      <c r="H45" s="9"/>
      <c r="I45" s="9"/>
      <c r="J45" s="9"/>
      <c r="K45" s="9"/>
      <c r="L45" s="9"/>
    </row>
    <row r="46" spans="1:12" ht="18.75" x14ac:dyDescent="0.3">
      <c r="A46" s="1" t="s">
        <v>51</v>
      </c>
      <c r="B46" s="8">
        <f>D46+E46+F46+G46+H46+I46+J46+L46</f>
        <v>0</v>
      </c>
      <c r="C46" s="14"/>
      <c r="D46" s="9"/>
      <c r="E46" s="9"/>
      <c r="F46" s="9"/>
      <c r="G46" s="9"/>
      <c r="H46" s="9"/>
      <c r="I46" s="9"/>
      <c r="J46" s="9"/>
      <c r="K46" s="9"/>
      <c r="L46" s="9"/>
    </row>
    <row r="47" spans="1:12" ht="18.75" x14ac:dyDescent="0.3">
      <c r="A47" s="1" t="s">
        <v>5</v>
      </c>
      <c r="B47" s="8">
        <f>D47+E47+F47+G47+H47+I47+J47+L47</f>
        <v>0</v>
      </c>
      <c r="C47" s="15"/>
      <c r="D47" s="9"/>
      <c r="E47" s="9"/>
      <c r="F47" s="9"/>
      <c r="G47" s="9"/>
      <c r="H47" s="9"/>
      <c r="I47" s="9"/>
      <c r="J47" s="9"/>
      <c r="K47" s="9"/>
      <c r="L47" s="9"/>
    </row>
    <row r="48" spans="1:12" ht="23.25" x14ac:dyDescent="0.35">
      <c r="A48" s="2" t="s">
        <v>1</v>
      </c>
      <c r="B48" s="3">
        <f>SUM(B3:B47)</f>
        <v>7</v>
      </c>
      <c r="C48" s="3"/>
      <c r="D48" s="3">
        <f>SUM(D3:D47)</f>
        <v>7</v>
      </c>
      <c r="E48" s="3"/>
      <c r="F48" s="3"/>
      <c r="G48" s="3"/>
      <c r="H48" s="3"/>
      <c r="I48" s="3"/>
      <c r="J48" s="3"/>
      <c r="K48" s="3"/>
      <c r="L48" s="3"/>
    </row>
    <row r="49" spans="2:9" ht="18.75" x14ac:dyDescent="0.25">
      <c r="G49" s="11"/>
      <c r="H49" s="12"/>
      <c r="I49" s="11"/>
    </row>
    <row r="50" spans="2:9" x14ac:dyDescent="0.25">
      <c r="B50" s="0" t="s">
        <v>6</v>
      </c>
      <c r="H50" s="0" t="s">
        <v>7</v>
      </c>
    </row>
  </sheetData>
  <mergeCells count="4">
    <mergeCell ref="C22:C47"/>
    <mergeCell ref="C15:C21"/>
    <mergeCell ref="C3:C14"/>
    <mergeCell ref="A1:L1"/>
  </mergeCells>
  <pageMargins left="0.8661417322834646" right="0.31496062992125984" top="0.4724409448818898" bottom="0.31496062992125984" header="0.31496062992125984" footer="0.31496062992125984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4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baseType="lpstr" size="2">
      <vt:lpstr>октябрь</vt:lpstr>
      <vt:lpstr>октябрь!Область_печати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2025-04-03T08:01:49Z</dcterms:created>
  <dc:creator>User</dc:creator>
  <cp:lastModifiedBy>User</cp:lastModifiedBy>
  <cp:lastPrinted>2025-10-07T10:28:44Z</cp:lastPrinted>
  <dcterms:modified xsi:type="dcterms:W3CDTF">2025-11-19T08:50:49Z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